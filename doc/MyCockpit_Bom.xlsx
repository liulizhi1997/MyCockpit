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1.MyTechStudio\1.Project\MyCockpit\Doc\"/>
    </mc:Choice>
  </mc:AlternateContent>
  <xr:revisionPtr revIDLastSave="0" documentId="13_ncr:1_{4CCC206C-F750-4368-8FC3-D670774BF3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J21" i="1" s="1"/>
  <c r="G21" i="1"/>
</calcChain>
</file>

<file path=xl/sharedStrings.xml><?xml version="1.0" encoding="utf-8"?>
<sst xmlns="http://schemas.openxmlformats.org/spreadsheetml/2006/main" count="20" uniqueCount="19">
  <si>
    <t>序号</t>
    <phoneticPr fontId="1" type="noConversion"/>
  </si>
  <si>
    <t>规格</t>
    <phoneticPr fontId="1" type="noConversion"/>
  </si>
  <si>
    <t>数量</t>
    <phoneticPr fontId="1" type="noConversion"/>
  </si>
  <si>
    <t>厚度(mm)</t>
    <phoneticPr fontId="1" type="noConversion"/>
  </si>
  <si>
    <t>单价</t>
    <phoneticPr fontId="1" type="noConversion"/>
  </si>
  <si>
    <t>总价</t>
    <phoneticPr fontId="1" type="noConversion"/>
  </si>
  <si>
    <t>4080欧标</t>
    <phoneticPr fontId="1" type="noConversion"/>
  </si>
  <si>
    <t>4040欧标</t>
    <phoneticPr fontId="1" type="noConversion"/>
  </si>
  <si>
    <t>角码36-40-2</t>
    <phoneticPr fontId="1" type="noConversion"/>
  </si>
  <si>
    <t>角码70-50-4</t>
    <phoneticPr fontId="1" type="noConversion"/>
  </si>
  <si>
    <t>长度(m)</t>
    <phoneticPr fontId="1" type="noConversion"/>
  </si>
  <si>
    <t>M8弹片螺母</t>
    <phoneticPr fontId="1" type="noConversion"/>
  </si>
  <si>
    <t>M8*20螺栓</t>
    <phoneticPr fontId="1" type="noConversion"/>
  </si>
  <si>
    <t>堵盖4080</t>
    <phoneticPr fontId="1" type="noConversion"/>
  </si>
  <si>
    <t>堵盖4040</t>
    <phoneticPr fontId="1" type="noConversion"/>
  </si>
  <si>
    <t>合计</t>
    <phoneticPr fontId="1" type="noConversion"/>
  </si>
  <si>
    <t>总质量(kg)</t>
    <phoneticPr fontId="1" type="noConversion"/>
  </si>
  <si>
    <t>单位质量(kg)</t>
    <phoneticPr fontId="1" type="noConversion"/>
  </si>
  <si>
    <t>直角块4080-4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</si>
</sst>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45" zoomScaleNormal="145" workbookViewId="0">
      <selection activeCell="I18" sqref="I18"/>
    </sheetView>
  </sheetViews>
  <sheetFormatPr defaultRowHeight="14.25" x14ac:dyDescent="0.2"/>
  <cols>
    <col min="1" max="1" width="6.375" customWidth="1"/>
    <col min="2" max="2" width="12.375" customWidth="1"/>
    <col min="3" max="3" width="9.375" customWidth="1"/>
    <col min="4" max="4" width="6.625" customWidth="1"/>
    <col min="5" max="5" width="10.125" customWidth="1"/>
    <col min="9" max="9" width="12" customWidth="1"/>
    <col min="10" max="10" width="10.75" customWidth="1"/>
  </cols>
  <sheetData>
    <row r="1" spans="1:10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10</v>
      </c>
      <c r="F1" s="1" t="s">
        <v>2</v>
      </c>
      <c r="G1" s="1" t="s">
        <v>5</v>
      </c>
      <c r="I1" s="1" t="s">
        <v>17</v>
      </c>
      <c r="J1" s="1" t="s">
        <v>16</v>
      </c>
    </row>
    <row r="2" spans="1:10" x14ac:dyDescent="0.2">
      <c r="A2">
        <v>1</v>
      </c>
      <c r="B2" s="3" t="s">
        <v>6</v>
      </c>
      <c r="C2" s="3">
        <v>3</v>
      </c>
      <c r="D2" s="3">
        <v>73</v>
      </c>
      <c r="E2">
        <v>0.9</v>
      </c>
      <c r="F2">
        <v>2</v>
      </c>
      <c r="G2">
        <v>131.4</v>
      </c>
      <c r="I2" s="2">
        <v>3.1659999999999999</v>
      </c>
      <c r="J2">
        <f>E2*F2*I2</f>
        <v>5.6988000000000003</v>
      </c>
    </row>
    <row r="3" spans="1:10" x14ac:dyDescent="0.2">
      <c r="A3">
        <v>2</v>
      </c>
      <c r="B3" s="3"/>
      <c r="C3" s="3"/>
      <c r="D3" s="3"/>
      <c r="E3">
        <v>0.5</v>
      </c>
      <c r="F3">
        <v>2</v>
      </c>
      <c r="G3">
        <v>73</v>
      </c>
      <c r="I3" s="2">
        <v>3.1659999999999999</v>
      </c>
      <c r="J3">
        <f t="shared" ref="J3:J11" si="0">E3*F3*I3</f>
        <v>3.1659999999999999</v>
      </c>
    </row>
    <row r="4" spans="1:10" x14ac:dyDescent="0.2">
      <c r="A4">
        <v>3</v>
      </c>
      <c r="B4" s="3"/>
      <c r="C4" s="3"/>
      <c r="D4" s="3"/>
      <c r="E4">
        <v>0.57999999999999996</v>
      </c>
      <c r="F4">
        <v>2</v>
      </c>
      <c r="G4">
        <v>84.68</v>
      </c>
      <c r="I4" s="2">
        <v>3.1659999999999999</v>
      </c>
      <c r="J4">
        <f t="shared" si="0"/>
        <v>3.6725599999999998</v>
      </c>
    </row>
    <row r="5" spans="1:10" x14ac:dyDescent="0.2">
      <c r="A5">
        <v>4</v>
      </c>
      <c r="B5" s="3" t="s">
        <v>6</v>
      </c>
      <c r="C5" s="3">
        <v>1.5</v>
      </c>
      <c r="D5" s="3">
        <v>45.4</v>
      </c>
      <c r="E5">
        <v>0.7</v>
      </c>
      <c r="F5">
        <v>2</v>
      </c>
      <c r="G5">
        <v>63.56</v>
      </c>
      <c r="I5" s="2">
        <v>1.88</v>
      </c>
      <c r="J5">
        <f t="shared" si="0"/>
        <v>2.6319999999999997</v>
      </c>
    </row>
    <row r="6" spans="1:10" x14ac:dyDescent="0.2">
      <c r="A6">
        <v>5</v>
      </c>
      <c r="B6" s="3"/>
      <c r="C6" s="3"/>
      <c r="D6" s="3"/>
      <c r="E6">
        <v>0.57999999999999996</v>
      </c>
      <c r="F6">
        <v>1</v>
      </c>
      <c r="G6">
        <v>26.33</v>
      </c>
      <c r="I6" s="2">
        <v>1.88</v>
      </c>
      <c r="J6">
        <f t="shared" si="0"/>
        <v>1.0903999999999998</v>
      </c>
    </row>
    <row r="7" spans="1:10" x14ac:dyDescent="0.2">
      <c r="A7">
        <v>6</v>
      </c>
      <c r="B7" s="3" t="s">
        <v>7</v>
      </c>
      <c r="C7" s="3">
        <v>1.5</v>
      </c>
      <c r="D7" s="3">
        <v>22.6</v>
      </c>
      <c r="E7">
        <v>0.5</v>
      </c>
      <c r="F7">
        <v>1</v>
      </c>
      <c r="G7">
        <v>11.3</v>
      </c>
      <c r="I7" s="2">
        <v>1.05</v>
      </c>
      <c r="J7">
        <f t="shared" si="0"/>
        <v>0.52500000000000002</v>
      </c>
    </row>
    <row r="8" spans="1:10" x14ac:dyDescent="0.2">
      <c r="A8">
        <v>7</v>
      </c>
      <c r="B8" s="3"/>
      <c r="C8" s="3"/>
      <c r="D8" s="3"/>
      <c r="E8">
        <v>0.3</v>
      </c>
      <c r="F8">
        <v>2</v>
      </c>
      <c r="G8">
        <v>13.56</v>
      </c>
      <c r="I8" s="2">
        <v>1.05</v>
      </c>
      <c r="J8">
        <f t="shared" si="0"/>
        <v>0.63</v>
      </c>
    </row>
    <row r="9" spans="1:10" x14ac:dyDescent="0.2">
      <c r="A9">
        <v>8</v>
      </c>
      <c r="B9" s="3"/>
      <c r="C9" s="3"/>
      <c r="D9" s="3"/>
      <c r="E9">
        <v>0.26</v>
      </c>
      <c r="F9">
        <v>2</v>
      </c>
      <c r="G9">
        <v>11.75</v>
      </c>
      <c r="I9" s="2">
        <v>1.05</v>
      </c>
      <c r="J9">
        <f t="shared" si="0"/>
        <v>0.54600000000000004</v>
      </c>
    </row>
    <row r="10" spans="1:10" x14ac:dyDescent="0.2">
      <c r="A10">
        <v>9</v>
      </c>
      <c r="B10" s="3"/>
      <c r="C10" s="3"/>
      <c r="D10" s="3"/>
      <c r="E10">
        <v>0.19</v>
      </c>
      <c r="F10">
        <v>2</v>
      </c>
      <c r="G10">
        <v>8.6</v>
      </c>
      <c r="I10" s="2">
        <v>1.05</v>
      </c>
      <c r="J10">
        <f t="shared" si="0"/>
        <v>0.39900000000000002</v>
      </c>
    </row>
    <row r="11" spans="1:10" x14ac:dyDescent="0.2">
      <c r="A11">
        <v>10</v>
      </c>
      <c r="B11" s="3"/>
      <c r="C11" s="3"/>
      <c r="D11" s="3"/>
      <c r="E11">
        <v>0.15</v>
      </c>
      <c r="F11">
        <v>2</v>
      </c>
      <c r="G11">
        <v>6.78</v>
      </c>
      <c r="I11" s="2">
        <v>1.05</v>
      </c>
      <c r="J11">
        <f t="shared" si="0"/>
        <v>0.315</v>
      </c>
    </row>
    <row r="12" spans="1:10" x14ac:dyDescent="0.2">
      <c r="A12">
        <v>11</v>
      </c>
      <c r="B12" t="s">
        <v>9</v>
      </c>
      <c r="D12">
        <v>8.5</v>
      </c>
      <c r="F12">
        <v>10</v>
      </c>
      <c r="G12">
        <v>85</v>
      </c>
    </row>
    <row r="13" spans="1:10" x14ac:dyDescent="0.2">
      <c r="A13">
        <v>12</v>
      </c>
      <c r="B13" t="s">
        <v>8</v>
      </c>
      <c r="D13">
        <v>6.5</v>
      </c>
      <c r="F13">
        <v>17</v>
      </c>
      <c r="G13">
        <v>110.5</v>
      </c>
    </row>
    <row r="14" spans="1:10" x14ac:dyDescent="0.2">
      <c r="A14">
        <v>13</v>
      </c>
      <c r="B14" t="s">
        <v>18</v>
      </c>
      <c r="D14">
        <v>12.83</v>
      </c>
      <c r="F14">
        <v>12</v>
      </c>
      <c r="G14">
        <v>154</v>
      </c>
    </row>
    <row r="15" spans="1:10" x14ac:dyDescent="0.2">
      <c r="A15">
        <v>14</v>
      </c>
      <c r="B15" t="s">
        <v>12</v>
      </c>
      <c r="D15">
        <v>0.14000000000000001</v>
      </c>
      <c r="F15">
        <v>180</v>
      </c>
      <c r="G15">
        <v>25.2</v>
      </c>
    </row>
    <row r="16" spans="1:10" x14ac:dyDescent="0.2">
      <c r="A16">
        <v>15</v>
      </c>
      <c r="B16" t="s">
        <v>11</v>
      </c>
      <c r="D16">
        <v>0.28000000000000003</v>
      </c>
      <c r="F16">
        <v>180</v>
      </c>
      <c r="G16">
        <v>50.4</v>
      </c>
    </row>
    <row r="17" spans="1:10" x14ac:dyDescent="0.2">
      <c r="A17">
        <v>16</v>
      </c>
      <c r="B17" t="s">
        <v>13</v>
      </c>
      <c r="D17">
        <v>0.36</v>
      </c>
      <c r="F17">
        <v>10</v>
      </c>
      <c r="G17">
        <v>3.6</v>
      </c>
    </row>
    <row r="18" spans="1:10" x14ac:dyDescent="0.2">
      <c r="A18">
        <v>17</v>
      </c>
      <c r="B18" t="s">
        <v>14</v>
      </c>
      <c r="D18">
        <v>0.22</v>
      </c>
      <c r="F18">
        <v>10</v>
      </c>
      <c r="G18">
        <v>2.2000000000000002</v>
      </c>
    </row>
    <row r="21" spans="1:10" x14ac:dyDescent="0.2">
      <c r="B21" t="s">
        <v>15</v>
      </c>
      <c r="G21">
        <f>SUM(G2:G18)</f>
        <v>861.86000000000013</v>
      </c>
      <c r="J21">
        <f>SUM(J2:J11)</f>
        <v>18.674759999999999</v>
      </c>
    </row>
  </sheetData>
  <mergeCells count="9">
    <mergeCell ref="D2:D4"/>
    <mergeCell ref="D5:D6"/>
    <mergeCell ref="D7:D11"/>
    <mergeCell ref="B2:B4"/>
    <mergeCell ref="B5:B6"/>
    <mergeCell ref="B7:B11"/>
    <mergeCell ref="C2:C4"/>
    <mergeCell ref="C5:C6"/>
    <mergeCell ref="C7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lizhi liu</dc:creator>
  <cp:lastModifiedBy>lizhi liu</cp:lastModifiedBy>
  <dcterms:created xsi:type="dcterms:W3CDTF">2015-06-05T18:19:34Z</dcterms:created>
  <dcterms:modified xsi:type="dcterms:W3CDTF">2025-10-13T13:42:25Z</dcterms:modified>
</cp:coreProperties>
</file>